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10fa0ddf5a56806/Desktop/"/>
    </mc:Choice>
  </mc:AlternateContent>
  <xr:revisionPtr revIDLastSave="640" documentId="11_F25DC773A252ABDACC1048BD319A44385BDE58F3" xr6:coauthVersionLast="47" xr6:coauthVersionMax="47" xr10:uidLastSave="{91FAD3F8-8F83-46DE-859C-92CBA8060B8A}"/>
  <bookViews>
    <workbookView xWindow="-98" yWindow="-98" windowWidth="21795" windowHeight="12975" xr2:uid="{00000000-000D-0000-FFFF-FFFF00000000}"/>
  </bookViews>
  <sheets>
    <sheet name="SALES DATA" sheetId="2" r:id="rId1"/>
    <sheet name="STUDENT DATA " sheetId="1" r:id="rId2"/>
    <sheet name="EMPLOYEE DATA" sheetId="3" r:id="rId3"/>
  </sheets>
  <definedNames>
    <definedName name="_xlnm._FilterDatabase" localSheetId="1" hidden="1">'STUDENT DATA '!$G$1:$G$21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2" l="1"/>
  <c r="D52" i="2"/>
  <c r="F31" i="1" a="1"/>
  <c r="G30" i="3"/>
  <c r="G29" i="3"/>
  <c r="G28" i="3"/>
  <c r="J2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H48" i="2"/>
  <c r="H43" i="2"/>
  <c r="E45" i="2"/>
  <c r="E46" i="2"/>
  <c r="E47" i="2"/>
  <c r="E43" i="2"/>
  <c r="D37" i="3"/>
  <c r="D38" i="3"/>
  <c r="I35" i="2"/>
  <c r="I34" i="2"/>
  <c r="H2" i="3" a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" i="3"/>
  <c r="D30" i="3"/>
  <c r="D28" i="3"/>
  <c r="D29" i="3"/>
  <c r="D27" i="3"/>
  <c r="E35" i="2" a="1"/>
  <c r="E36" i="2" a="1"/>
  <c r="E37" i="2" a="1"/>
  <c r="E34" i="2" a="1"/>
  <c r="H26" i="2"/>
  <c r="H27" i="2"/>
  <c r="H28" i="2"/>
  <c r="H25" i="2"/>
  <c r="C31" i="1"/>
  <c r="C32" i="1"/>
  <c r="C30" i="1"/>
  <c r="M3" i="1"/>
  <c r="M6" i="1"/>
  <c r="M7" i="1"/>
  <c r="M8" i="1"/>
  <c r="M9" i="1"/>
  <c r="M10" i="1"/>
  <c r="M11" i="1"/>
  <c r="M12" i="1"/>
  <c r="D28" i="2"/>
  <c r="D27" i="2"/>
  <c r="D26" i="2"/>
  <c r="D25" i="2"/>
  <c r="C26" i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" i="2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H3" i="1"/>
  <c r="K3" i="1" s="1"/>
  <c r="H4" i="1"/>
  <c r="H5" i="1"/>
  <c r="H6" i="1"/>
  <c r="K6" i="1" s="1"/>
  <c r="H7" i="1"/>
  <c r="K7" i="1" s="1"/>
  <c r="H8" i="1"/>
  <c r="K8" i="1" s="1"/>
  <c r="H9" i="1"/>
  <c r="K9" i="1" s="1"/>
  <c r="H10" i="1"/>
  <c r="K10" i="1" s="1"/>
  <c r="H11" i="1"/>
  <c r="K11" i="1" s="1"/>
  <c r="H12" i="1"/>
  <c r="K12" i="1" s="1"/>
  <c r="H13" i="1"/>
  <c r="H14" i="1"/>
  <c r="H15" i="1"/>
  <c r="H16" i="1"/>
  <c r="H17" i="1"/>
  <c r="H18" i="1"/>
  <c r="H19" i="1"/>
  <c r="H20" i="1"/>
  <c r="H21" i="1"/>
  <c r="H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K4" i="1" l="1"/>
  <c r="M4" i="1"/>
  <c r="K5" i="1"/>
  <c r="M5" i="1"/>
  <c r="M13" i="1"/>
  <c r="K13" i="1"/>
  <c r="M14" i="1"/>
  <c r="K14" i="1"/>
  <c r="M15" i="1"/>
  <c r="K15" i="1"/>
  <c r="M16" i="1"/>
  <c r="K16" i="1"/>
  <c r="M17" i="1"/>
  <c r="K17" i="1"/>
  <c r="M18" i="1"/>
  <c r="K18" i="1"/>
  <c r="M19" i="1"/>
  <c r="K19" i="1"/>
  <c r="M20" i="1"/>
  <c r="K20" i="1"/>
  <c r="M21" i="1"/>
  <c r="K21" i="1"/>
  <c r="M2" i="1"/>
  <c r="H27" i="1" s="1"/>
  <c r="K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<sst xmlns="http://schemas.openxmlformats.org/spreadsheetml/2006/main" count="213" uniqueCount="146">
  <si>
    <t>Student ID</t>
  </si>
  <si>
    <t>Name</t>
  </si>
  <si>
    <t>Math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</si>
  <si>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</si>
  <si>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</si>
  <si>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</si>
  <si>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</si>
  <si>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</si>
  <si>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</si>
  <si>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</si>
  <si>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</si>
  <si>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</si>
  <si>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</si>
  <si>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</si>
  <si>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</si>
  <si>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</si>
  <si>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</si>
  <si>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</si>
  <si>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</si>
  <si>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</si>
  <si>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</si>
  <si>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</si>
  <si>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</si>
  <si>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</si>
  <si>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</si>
  <si>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</si>
  <si>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</si>
  <si>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</si>
  <si>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</si>
  <si>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</si>
  <si>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</si>
  <si>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</si>
  <si>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</si>
  <si>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</si>
  <si>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</si>
  <si>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</si>
  <si>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</si>
  <si>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</si>
  <si>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</si>
  <si>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</si>
  <si>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</si>
  <si>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</si>
  <si>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</si>
  <si>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</si>
  <si>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</si>
  <si>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</si>
  <si>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</si>
  <si>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</si>
  <si>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</si>
  <si>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</si>
  <si>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</si>
  <si>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</si>
  <si>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</si>
  <si>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</si>
  <si>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</si>
  <si>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</si>
  <si>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</si>
  <si>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</si>
  <si>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</si>
  <si>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</si>
  <si>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</si>
  <si>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</si>
  <si>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</si>
  <si>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</si>
  <si>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</si>
  <si>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</si>
  <si>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</si>
  <si>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</si>
  <si>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</si>
  <si>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</si>
  <si>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</si>
  <si>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</si>
  <si>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</si>
  <si>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</si>
  <si>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</si>
  <si>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</si>
  <si>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</si>
  <si>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</si>
  <si>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</si>
  <si>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</si>
  <si>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</si>
  <si>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</si>
  <si>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</si>
  <si>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</si>
  <si>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</si>
  <si>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</si>
  <si>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</si>
  <si>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</si>
  <si>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</si>
  <si>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RELATIVE REFERENCE</t>
  </si>
  <si>
    <t xml:space="preserve">ABSOLUTE REFERNCE </t>
  </si>
  <si>
    <t>OUT OF 100</t>
  </si>
  <si>
    <t>GRADES</t>
  </si>
  <si>
    <t xml:space="preserve">TOTAL MARKS </t>
  </si>
  <si>
    <t>DISCOUNT</t>
  </si>
  <si>
    <t>STUDENTS WHO SCORED ABOVE 80 IN BOTH SCIENCE &amp; MATHS</t>
  </si>
  <si>
    <t>ELIGILBLE FOR DISCOUNT</t>
  </si>
  <si>
    <t>students who scored above 50 in Math.</t>
  </si>
  <si>
    <t xml:space="preserve">SOUTH </t>
  </si>
  <si>
    <t>NORTH</t>
  </si>
  <si>
    <t>EAST</t>
  </si>
  <si>
    <t>WEST</t>
  </si>
  <si>
    <t>Sum total sales for a specific region and product.</t>
  </si>
  <si>
    <t>Calculate the average score for students who scored above 60.</t>
  </si>
  <si>
    <t>PERCENTAGE OUT 100</t>
  </si>
  <si>
    <t>Fetch student names based on ID from a separate dataset.</t>
  </si>
  <si>
    <t>Retrieve product prices based on product codes.</t>
  </si>
  <si>
    <t>Find sales values for a specific salesperson in a specific month.</t>
  </si>
  <si>
    <t>Month</t>
  </si>
  <si>
    <t>jan</t>
  </si>
  <si>
    <t>feb</t>
  </si>
  <si>
    <t>march</t>
  </si>
  <si>
    <t>april</t>
  </si>
  <si>
    <t>may</t>
  </si>
  <si>
    <t xml:space="preserve">july </t>
  </si>
  <si>
    <t>august</t>
  </si>
  <si>
    <t>sept</t>
  </si>
  <si>
    <t>oct</t>
  </si>
  <si>
    <t>dec</t>
  </si>
  <si>
    <t xml:space="preserve">feb </t>
  </si>
  <si>
    <t>june</t>
  </si>
  <si>
    <t>Look up employee details dynamically without column restrictions.</t>
  </si>
  <si>
    <t>name</t>
  </si>
  <si>
    <t>salary</t>
  </si>
  <si>
    <t>joining date</t>
  </si>
  <si>
    <t>first name</t>
  </si>
  <si>
    <t>upper case</t>
  </si>
  <si>
    <t>lower case</t>
  </si>
  <si>
    <t>Search for salesperson performance based on flexible search criteria.</t>
  </si>
  <si>
    <t>person 20</t>
  </si>
  <si>
    <t>Find employee salaries without worrying about sorted data.</t>
  </si>
  <si>
    <t>Find the position of a product in a sales list.</t>
  </si>
  <si>
    <t>MOUSE</t>
  </si>
  <si>
    <t>KEYBOARD</t>
  </si>
  <si>
    <t>PRINTER</t>
  </si>
  <si>
    <t>MONITOR</t>
  </si>
  <si>
    <t>LAPTOP</t>
  </si>
  <si>
    <t>Dynamically reference a cell range using INDIRECT.</t>
  </si>
  <si>
    <t>Create dynamic ranges for sales trends.</t>
  </si>
  <si>
    <t>AGE CALCULTOR</t>
  </si>
  <si>
    <t>DECIMAL AMOUNT</t>
  </si>
  <si>
    <t>ROUND()</t>
  </si>
  <si>
    <t>CEILING()</t>
  </si>
  <si>
    <t>FLOOR()</t>
  </si>
  <si>
    <t>Use ROUND(), CEILING(), and FLOOR() for financial calculations.</t>
  </si>
  <si>
    <t>Extract a list of top-performing students based on scores.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</si>
</sst>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4009]dd/mm/yyyy;@"/>
    <numFmt numFmtId="165" formatCode="&quot;₹&quot;\ #,##0"/>
    <numFmt numFmtId="177" formatCode="0.0"/>
    <numFmt numFmtId="178" formatCode="[$-14009]dd/mm/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Arial Black"/>
      <family val="2"/>
    </font>
    <font>
      <b/>
      <i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theme="4" tint="0.3999755851924192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2" xfId="0" applyBorder="1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1" fillId="0" borderId="2" xfId="0" applyFont="1" applyBorder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7" xfId="0" applyBorder="1"/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65" fontId="0" fillId="0" borderId="9" xfId="0" applyNumberFormat="1" applyBorder="1" applyAlignment="1">
      <alignment horizontal="center" vertical="center" wrapText="1"/>
    </xf>
    <xf numFmtId="164" fontId="0" fillId="0" borderId="9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4" fillId="3" borderId="2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2" xfId="0" applyNumberFormat="1" applyFont="1" applyFill="1" applyBorder="1" applyAlignment="1">
      <alignment horizontal="center" vertical="center" wrapText="1"/>
    </xf>
    <xf numFmtId="164" fontId="0" fillId="2" borderId="2" xfId="0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/>
    </xf>
    <xf numFmtId="0" fontId="0" fillId="2" borderId="2" xfId="0" applyFont="1" applyFill="1" applyBorder="1"/>
    <xf numFmtId="177" fontId="0" fillId="2" borderId="2" xfId="0" applyNumberFormat="1" applyFont="1" applyFill="1" applyBorder="1" applyAlignment="1">
      <alignment horizontal="center" vertical="center" wrapText="1"/>
    </xf>
    <xf numFmtId="0" fontId="0" fillId="0" borderId="2" xfId="0" applyNumberFormat="1" applyFont="1" applyBorder="1" applyAlignment="1">
      <alignment horizontal="center" vertical="center" wrapText="1"/>
    </xf>
    <xf numFmtId="164" fontId="0" fillId="0" borderId="2" xfId="0" applyNumberFormat="1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/>
    <xf numFmtId="177" fontId="0" fillId="0" borderId="2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178" fontId="0" fillId="2" borderId="2" xfId="0" applyNumberFormat="1" applyFont="1" applyFill="1" applyBorder="1" applyAlignment="1">
      <alignment horizontal="center" vertical="center" wrapText="1"/>
    </xf>
    <xf numFmtId="178" fontId="0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4"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14009]dd/mm/yyyy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14009]dd/mm/yyyy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9C39984-2085-471A-A486-C23F35F57C64}" name="Table5" displayName="Table5" ref="A1:J21" totalsRowShown="0" headerRowDxfId="0" headerRowBorderDxfId="12" tableBorderDxfId="13" totalsRowBorderDxfId="11">
  <tableColumns count="10">
    <tableColumn id="1" xr3:uid="{F8B3EC96-FD1C-4C72-A3C8-47827B8C3677}" name="Sales ID" dataDxfId="10"/>
    <tableColumn id="2" xr3:uid="{64CC74A1-30DB-4008-BD2B-2897AB9EBCF9}" name="Product" dataDxfId="9"/>
    <tableColumn id="3" xr3:uid="{25A28C0A-E659-4B15-9364-FC995A0D9E12}" name="Region" dataDxfId="8"/>
    <tableColumn id="4" xr3:uid="{9EB74209-6FAD-42E3-9364-5B14D6DD1476}" name="Salesperson" dataDxfId="7"/>
    <tableColumn id="5" xr3:uid="{FEDC0A81-7A4D-433C-9A84-7AAD0FC30D06}" name="Amount" dataDxfId="6"/>
    <tableColumn id="6" xr3:uid="{CB2BB14F-0658-4547-BA4F-C4BBB353B56D}" name="Date" dataDxfId="5"/>
    <tableColumn id="9" xr3:uid="{787308B8-7C27-4F1D-864E-DAF65A8730A0}" name="Month" dataDxfId="4"/>
    <tableColumn id="7" xr3:uid="{D218A492-1C46-478A-9F74-E0C67FAA0030}" name="DISCOUNT" dataDxfId="3">
      <calculatedColumnFormula>IF(E2&gt;=40000,"10%",IF(E2&gt;=30000,"8%",IF(E2&gt;=20000,"5%","0%")))</calculatedColumnFormula>
    </tableColumn>
    <tableColumn id="8" xr3:uid="{924EB415-88E0-4881-8CE5-197451D4561F}" name="ELIGILBLE FOR DISCOUNT" dataDxfId="2">
      <calculatedColumnFormula>IF(OR(B1, E2&gt;=20000), "Eligible", "Not Eligible")</calculatedColumnFormula>
    </tableColumn>
    <tableColumn id="10" xr3:uid="{622764E9-481C-4415-A58E-8B7B261C9375}" name="AGE CALCULTOR" dataDxfId="1">
      <calculatedColumnFormula>INT(YEARFRAC(Table5[[#This Row],[Date]],TODAY()))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1AE23-5951-484E-AA5A-40A8C6938CB6}">
  <dimension ref="A1:J52"/>
  <sheetViews>
    <sheetView tabSelected="1" zoomScale="56" workbookViewId="0">
      <selection activeCell="Q14" sqref="Q14"/>
    </sheetView>
  </sheetViews>
  <sheetFormatPr defaultRowHeight="14.25" x14ac:dyDescent="0.45"/>
  <cols>
    <col min="1" max="1" width="9.19921875" customWidth="1"/>
    <col min="4" max="4" width="15.9296875" customWidth="1"/>
    <col min="5" max="5" width="13" customWidth="1"/>
    <col min="6" max="7" width="11.59765625" customWidth="1"/>
    <col min="8" max="8" width="14.59765625" customWidth="1"/>
    <col min="9" max="9" width="23.06640625" customWidth="1"/>
  </cols>
  <sheetData>
    <row r="1" spans="1:10" ht="42.75" x14ac:dyDescent="0.45">
      <c r="A1" s="15" t="s">
        <v>26</v>
      </c>
      <c r="B1" s="16" t="s">
        <v>27</v>
      </c>
      <c r="C1" s="16" t="s">
        <v>28</v>
      </c>
      <c r="D1" s="16" t="s">
        <v>29</v>
      </c>
      <c r="E1" s="16" t="s">
        <v>30</v>
      </c>
      <c r="F1" s="16" t="s">
        <v>31</v>
      </c>
      <c r="G1" s="16" t="s">
        <v>108</v>
      </c>
      <c r="H1" s="16" t="s">
        <v>94</v>
      </c>
      <c r="I1" s="16" t="s">
        <v>96</v>
      </c>
      <c r="J1" s="17" t="s">
        <v>139</v>
      </c>
    </row>
    <row r="2" spans="1:10" x14ac:dyDescent="0.45">
      <c r="A2" s="18">
        <v>2001</v>
      </c>
      <c r="B2" s="5" t="s">
        <v>32</v>
      </c>
      <c r="C2" s="5" t="s">
        <v>33</v>
      </c>
      <c r="D2" s="5" t="s">
        <v>34</v>
      </c>
      <c r="E2" s="19">
        <v>7048</v>
      </c>
      <c r="F2" s="20">
        <v>44927</v>
      </c>
      <c r="G2" s="20" t="s">
        <v>109</v>
      </c>
      <c r="H2" s="21" t="str">
        <f>IF(E2&gt;=40000,"10%",IF(E2&gt;=30000,"8%",IF(E2&gt;=20000,"5%","0%")))</f>
        <v>0%</v>
      </c>
      <c r="I2" s="11" t="str">
        <f>IF(OR(B1, E2&gt;=20000), "Eligible", "Not Eligible")</f>
        <v>Not Eligible</v>
      </c>
      <c r="J2" s="22">
        <f ca="1">INT(YEARFRAC(F2,TODAY()))</f>
        <v>3</v>
      </c>
    </row>
    <row r="3" spans="1:10" x14ac:dyDescent="0.45">
      <c r="A3" s="18">
        <v>2002</v>
      </c>
      <c r="B3" s="5" t="s">
        <v>35</v>
      </c>
      <c r="C3" s="5" t="s">
        <v>36</v>
      </c>
      <c r="D3" s="5" t="s">
        <v>37</v>
      </c>
      <c r="E3" s="19">
        <v>17428</v>
      </c>
      <c r="F3" s="20">
        <v>44942</v>
      </c>
      <c r="G3" s="20" t="s">
        <v>110</v>
      </c>
      <c r="H3" s="21" t="str">
        <f t="shared" ref="H3:H21" si="0">IF(E3&gt;=40000,"10%",IF(E3&gt;=30000,"8%",IF(E3&gt;=20000,"5%","0%")))</f>
        <v>0%</v>
      </c>
      <c r="I3" s="11" t="str">
        <f t="shared" ref="I3:I21" si="1">IF(OR(B2, E3&gt;=20000), "Eligible", "Not Eligible")</f>
        <v>Not Eligible</v>
      </c>
      <c r="J3" s="22">
        <f ca="1">INT(YEARFRAC(Table5[[#This Row],[Date]],TODAY()))</f>
        <v>3</v>
      </c>
    </row>
    <row r="4" spans="1:10" x14ac:dyDescent="0.45">
      <c r="A4" s="18">
        <v>2003</v>
      </c>
      <c r="B4" s="5" t="s">
        <v>38</v>
      </c>
      <c r="C4" s="5" t="s">
        <v>33</v>
      </c>
      <c r="D4" s="5" t="s">
        <v>39</v>
      </c>
      <c r="E4" s="19">
        <v>23672</v>
      </c>
      <c r="F4" s="20">
        <v>44957</v>
      </c>
      <c r="G4" s="20" t="s">
        <v>111</v>
      </c>
      <c r="H4" s="21" t="str">
        <f t="shared" si="0"/>
        <v>5%</v>
      </c>
      <c r="I4" s="11" t="str">
        <f t="shared" si="1"/>
        <v>Eligible</v>
      </c>
      <c r="J4" s="22">
        <f ca="1">INT(YEARFRAC(Table5[[#This Row],[Date]],TODAY()))</f>
        <v>3</v>
      </c>
    </row>
    <row r="5" spans="1:10" x14ac:dyDescent="0.45">
      <c r="A5" s="18">
        <v>2004</v>
      </c>
      <c r="B5" s="5" t="s">
        <v>35</v>
      </c>
      <c r="C5" s="5" t="s">
        <v>40</v>
      </c>
      <c r="D5" s="5" t="s">
        <v>41</v>
      </c>
      <c r="E5" s="19">
        <v>5264</v>
      </c>
      <c r="F5" s="20">
        <v>44972</v>
      </c>
      <c r="G5" s="20" t="s">
        <v>112</v>
      </c>
      <c r="H5" s="21" t="str">
        <f t="shared" si="0"/>
        <v>0%</v>
      </c>
      <c r="I5" s="11" t="str">
        <f t="shared" si="1"/>
        <v>Not Eligible</v>
      </c>
      <c r="J5" s="22">
        <f ca="1">INT(YEARFRAC(Table5[[#This Row],[Date]],TODAY()))</f>
        <v>3</v>
      </c>
    </row>
    <row r="6" spans="1:10" x14ac:dyDescent="0.45">
      <c r="A6" s="18">
        <v>2005</v>
      </c>
      <c r="B6" s="5" t="s">
        <v>32</v>
      </c>
      <c r="C6" s="5" t="s">
        <v>42</v>
      </c>
      <c r="D6" s="5" t="s">
        <v>43</v>
      </c>
      <c r="E6" s="19">
        <v>43388</v>
      </c>
      <c r="F6" s="20">
        <v>44987</v>
      </c>
      <c r="G6" s="20" t="s">
        <v>113</v>
      </c>
      <c r="H6" s="21" t="str">
        <f t="shared" si="0"/>
        <v>10%</v>
      </c>
      <c r="I6" s="11" t="str">
        <f t="shared" si="1"/>
        <v>Eligible</v>
      </c>
      <c r="J6" s="22">
        <f ca="1">INT(YEARFRAC(Table5[[#This Row],[Date]],TODAY()))</f>
        <v>3</v>
      </c>
    </row>
    <row r="7" spans="1:10" x14ac:dyDescent="0.45">
      <c r="A7" s="18">
        <v>2006</v>
      </c>
      <c r="B7" s="5" t="s">
        <v>38</v>
      </c>
      <c r="C7" s="5" t="s">
        <v>42</v>
      </c>
      <c r="D7" s="5" t="s">
        <v>44</v>
      </c>
      <c r="E7" s="19">
        <v>19757</v>
      </c>
      <c r="F7" s="20">
        <v>45002</v>
      </c>
      <c r="G7" s="20" t="s">
        <v>114</v>
      </c>
      <c r="H7" s="21" t="str">
        <f t="shared" si="0"/>
        <v>0%</v>
      </c>
      <c r="I7" s="11" t="str">
        <f t="shared" si="1"/>
        <v>Not Eligible</v>
      </c>
      <c r="J7" s="22">
        <f ca="1">INT(YEARFRAC(Table5[[#This Row],[Date]],TODAY()))</f>
        <v>3</v>
      </c>
    </row>
    <row r="8" spans="1:10" x14ac:dyDescent="0.45">
      <c r="A8" s="18">
        <v>2007</v>
      </c>
      <c r="B8" s="5" t="s">
        <v>38</v>
      </c>
      <c r="C8" s="5" t="s">
        <v>40</v>
      </c>
      <c r="D8" s="5" t="s">
        <v>45</v>
      </c>
      <c r="E8" s="19">
        <v>32058</v>
      </c>
      <c r="F8" s="20">
        <v>45017</v>
      </c>
      <c r="G8" s="20" t="s">
        <v>109</v>
      </c>
      <c r="H8" s="21" t="str">
        <f t="shared" si="0"/>
        <v>8%</v>
      </c>
      <c r="I8" s="11" t="str">
        <f t="shared" si="1"/>
        <v>Eligible</v>
      </c>
      <c r="J8" s="22">
        <f ca="1">INT(YEARFRAC(Table5[[#This Row],[Date]],TODAY()))</f>
        <v>3</v>
      </c>
    </row>
    <row r="9" spans="1:10" x14ac:dyDescent="0.45">
      <c r="A9" s="18">
        <v>2008</v>
      </c>
      <c r="B9" s="5" t="s">
        <v>32</v>
      </c>
      <c r="C9" s="5" t="s">
        <v>40</v>
      </c>
      <c r="D9" s="5" t="s">
        <v>46</v>
      </c>
      <c r="E9" s="19">
        <v>46429</v>
      </c>
      <c r="F9" s="20">
        <v>43937</v>
      </c>
      <c r="G9" s="20" t="s">
        <v>115</v>
      </c>
      <c r="H9" s="21" t="str">
        <f t="shared" si="0"/>
        <v>10%</v>
      </c>
      <c r="I9" s="11" t="str">
        <f t="shared" si="1"/>
        <v>Eligible</v>
      </c>
      <c r="J9" s="22">
        <f ca="1">INT(YEARFRAC(Table5[[#This Row],[Date]],TODAY()))</f>
        <v>6</v>
      </c>
    </row>
    <row r="10" spans="1:10" x14ac:dyDescent="0.45">
      <c r="A10" s="18">
        <v>2009</v>
      </c>
      <c r="B10" s="5" t="s">
        <v>35</v>
      </c>
      <c r="C10" s="5" t="s">
        <v>40</v>
      </c>
      <c r="D10" s="5" t="s">
        <v>47</v>
      </c>
      <c r="E10" s="19">
        <v>19746</v>
      </c>
      <c r="F10" s="20">
        <v>45047</v>
      </c>
      <c r="G10" s="20" t="s">
        <v>116</v>
      </c>
      <c r="H10" s="21" t="str">
        <f t="shared" si="0"/>
        <v>0%</v>
      </c>
      <c r="I10" s="11" t="str">
        <f t="shared" si="1"/>
        <v>Not Eligible</v>
      </c>
      <c r="J10" s="22">
        <f ca="1">INT(YEARFRAC(Table5[[#This Row],[Date]],TODAY()))</f>
        <v>3</v>
      </c>
    </row>
    <row r="11" spans="1:10" x14ac:dyDescent="0.45">
      <c r="A11" s="18">
        <v>2010</v>
      </c>
      <c r="B11" s="5" t="s">
        <v>32</v>
      </c>
      <c r="C11" s="5" t="s">
        <v>33</v>
      </c>
      <c r="D11" s="5" t="s">
        <v>48</v>
      </c>
      <c r="E11" s="19">
        <v>35185</v>
      </c>
      <c r="F11" s="20">
        <v>45062</v>
      </c>
      <c r="G11" s="20" t="s">
        <v>117</v>
      </c>
      <c r="H11" s="21" t="str">
        <f t="shared" si="0"/>
        <v>8%</v>
      </c>
      <c r="I11" s="11" t="str">
        <f t="shared" si="1"/>
        <v>Eligible</v>
      </c>
      <c r="J11" s="22">
        <f ca="1">INT(YEARFRAC(Table5[[#This Row],[Date]],TODAY()))</f>
        <v>3</v>
      </c>
    </row>
    <row r="12" spans="1:10" x14ac:dyDescent="0.45">
      <c r="A12" s="18">
        <v>2011</v>
      </c>
      <c r="B12" s="5" t="s">
        <v>32</v>
      </c>
      <c r="C12" s="5" t="s">
        <v>40</v>
      </c>
      <c r="D12" s="5" t="s">
        <v>49</v>
      </c>
      <c r="E12" s="19">
        <v>33920</v>
      </c>
      <c r="F12" s="20">
        <v>46173</v>
      </c>
      <c r="G12" s="20" t="s">
        <v>118</v>
      </c>
      <c r="H12" s="21" t="str">
        <f t="shared" si="0"/>
        <v>8%</v>
      </c>
      <c r="I12" s="11" t="str">
        <f t="shared" si="1"/>
        <v>Eligible</v>
      </c>
      <c r="J12" s="22">
        <f ca="1">INT(YEARFRAC(Table5[[#This Row],[Date]],TODAY()))</f>
        <v>0</v>
      </c>
    </row>
    <row r="13" spans="1:10" x14ac:dyDescent="0.45">
      <c r="A13" s="18">
        <v>2012</v>
      </c>
      <c r="B13" s="5" t="s">
        <v>50</v>
      </c>
      <c r="C13" s="5" t="s">
        <v>42</v>
      </c>
      <c r="D13" s="5" t="s">
        <v>51</v>
      </c>
      <c r="E13" s="19">
        <v>35611</v>
      </c>
      <c r="F13" s="20">
        <v>45092</v>
      </c>
      <c r="G13" s="20" t="s">
        <v>109</v>
      </c>
      <c r="H13" s="21" t="str">
        <f t="shared" si="0"/>
        <v>8%</v>
      </c>
      <c r="I13" s="11" t="str">
        <f t="shared" si="1"/>
        <v>Eligible</v>
      </c>
      <c r="J13" s="22">
        <f ca="1">INT(YEARFRAC(Table5[[#This Row],[Date]],TODAY()))</f>
        <v>3</v>
      </c>
    </row>
    <row r="14" spans="1:10" x14ac:dyDescent="0.45">
      <c r="A14" s="18">
        <v>2013</v>
      </c>
      <c r="B14" s="5" t="s">
        <v>52</v>
      </c>
      <c r="C14" s="5" t="s">
        <v>40</v>
      </c>
      <c r="D14" s="5" t="s">
        <v>53</v>
      </c>
      <c r="E14" s="19">
        <v>15560</v>
      </c>
      <c r="F14" s="20">
        <v>45838</v>
      </c>
      <c r="G14" s="20" t="s">
        <v>119</v>
      </c>
      <c r="H14" s="21" t="str">
        <f t="shared" si="0"/>
        <v>0%</v>
      </c>
      <c r="I14" s="11" t="str">
        <f t="shared" si="1"/>
        <v>Not Eligible</v>
      </c>
      <c r="J14" s="22">
        <f ca="1">INT(YEARFRAC(Table5[[#This Row],[Date]],TODAY()))</f>
        <v>1</v>
      </c>
    </row>
    <row r="15" spans="1:10" x14ac:dyDescent="0.45">
      <c r="A15" s="18">
        <v>2014</v>
      </c>
      <c r="B15" s="5" t="s">
        <v>52</v>
      </c>
      <c r="C15" s="5" t="s">
        <v>33</v>
      </c>
      <c r="D15" s="5" t="s">
        <v>54</v>
      </c>
      <c r="E15" s="19">
        <v>7283</v>
      </c>
      <c r="F15" s="20">
        <v>45122</v>
      </c>
      <c r="G15" s="20" t="s">
        <v>113</v>
      </c>
      <c r="H15" s="21" t="str">
        <f t="shared" si="0"/>
        <v>0%</v>
      </c>
      <c r="I15" s="11" t="str">
        <f t="shared" si="1"/>
        <v>Not Eligible</v>
      </c>
      <c r="J15" s="22">
        <f ca="1">INT(YEARFRAC(Table5[[#This Row],[Date]],TODAY()))</f>
        <v>3</v>
      </c>
    </row>
    <row r="16" spans="1:10" x14ac:dyDescent="0.45">
      <c r="A16" s="18">
        <v>2015</v>
      </c>
      <c r="B16" s="5" t="s">
        <v>52</v>
      </c>
      <c r="C16" s="5" t="s">
        <v>40</v>
      </c>
      <c r="D16" s="5" t="s">
        <v>55</v>
      </c>
      <c r="E16" s="19">
        <v>15678</v>
      </c>
      <c r="F16" s="20">
        <v>45137</v>
      </c>
      <c r="G16" s="20" t="s">
        <v>117</v>
      </c>
      <c r="H16" s="21" t="str">
        <f t="shared" si="0"/>
        <v>0%</v>
      </c>
      <c r="I16" s="11" t="str">
        <f t="shared" si="1"/>
        <v>Not Eligible</v>
      </c>
      <c r="J16" s="22">
        <f ca="1">INT(YEARFRAC(Table5[[#This Row],[Date]],TODAY()))</f>
        <v>3</v>
      </c>
    </row>
    <row r="17" spans="1:10" x14ac:dyDescent="0.45">
      <c r="A17" s="18">
        <v>2016</v>
      </c>
      <c r="B17" s="5" t="s">
        <v>38</v>
      </c>
      <c r="C17" s="5" t="s">
        <v>40</v>
      </c>
      <c r="D17" s="5" t="s">
        <v>56</v>
      </c>
      <c r="E17" s="19">
        <v>5277</v>
      </c>
      <c r="F17" s="20">
        <v>45152</v>
      </c>
      <c r="G17" s="20" t="s">
        <v>119</v>
      </c>
      <c r="H17" s="21" t="str">
        <f t="shared" si="0"/>
        <v>0%</v>
      </c>
      <c r="I17" s="11" t="str">
        <f t="shared" si="1"/>
        <v>Not Eligible</v>
      </c>
      <c r="J17" s="22">
        <f ca="1">INT(YEARFRAC(Table5[[#This Row],[Date]],TODAY()))</f>
        <v>3</v>
      </c>
    </row>
    <row r="18" spans="1:10" x14ac:dyDescent="0.45">
      <c r="A18" s="18">
        <v>2017</v>
      </c>
      <c r="B18" s="5" t="s">
        <v>50</v>
      </c>
      <c r="C18" s="5" t="s">
        <v>42</v>
      </c>
      <c r="D18" s="5" t="s">
        <v>57</v>
      </c>
      <c r="E18" s="19">
        <v>41871</v>
      </c>
      <c r="F18" s="20">
        <v>45167</v>
      </c>
      <c r="G18" s="20" t="s">
        <v>113</v>
      </c>
      <c r="H18" s="21" t="str">
        <f t="shared" si="0"/>
        <v>10%</v>
      </c>
      <c r="I18" s="11" t="str">
        <f t="shared" si="1"/>
        <v>Eligible</v>
      </c>
      <c r="J18" s="22">
        <f ca="1">INT(YEARFRAC(Table5[[#This Row],[Date]],TODAY()))</f>
        <v>3</v>
      </c>
    </row>
    <row r="19" spans="1:10" x14ac:dyDescent="0.45">
      <c r="A19" s="18">
        <v>2018</v>
      </c>
      <c r="B19" s="5" t="s">
        <v>50</v>
      </c>
      <c r="C19" s="5" t="s">
        <v>36</v>
      </c>
      <c r="D19" s="5" t="s">
        <v>58</v>
      </c>
      <c r="E19" s="19">
        <v>38161</v>
      </c>
      <c r="F19" s="20">
        <v>45182</v>
      </c>
      <c r="G19" s="20" t="s">
        <v>120</v>
      </c>
      <c r="H19" s="21" t="str">
        <f t="shared" si="0"/>
        <v>8%</v>
      </c>
      <c r="I19" s="11" t="str">
        <f t="shared" si="1"/>
        <v>Eligible</v>
      </c>
      <c r="J19" s="22">
        <f ca="1">INT(YEARFRAC(Table5[[#This Row],[Date]],TODAY()))</f>
        <v>3</v>
      </c>
    </row>
    <row r="20" spans="1:10" x14ac:dyDescent="0.45">
      <c r="A20" s="18">
        <v>2019</v>
      </c>
      <c r="B20" s="5" t="s">
        <v>38</v>
      </c>
      <c r="C20" s="5" t="s">
        <v>36</v>
      </c>
      <c r="D20" s="5" t="s">
        <v>59</v>
      </c>
      <c r="E20" s="19">
        <v>30436</v>
      </c>
      <c r="F20" s="20">
        <v>45197</v>
      </c>
      <c r="G20" s="20" t="s">
        <v>116</v>
      </c>
      <c r="H20" s="21" t="str">
        <f t="shared" si="0"/>
        <v>8%</v>
      </c>
      <c r="I20" s="11" t="str">
        <f t="shared" si="1"/>
        <v>Eligible</v>
      </c>
      <c r="J20" s="22">
        <f ca="1">INT(YEARFRAC(Table5[[#This Row],[Date]],TODAY()))</f>
        <v>3</v>
      </c>
    </row>
    <row r="21" spans="1:10" x14ac:dyDescent="0.45">
      <c r="A21" s="23">
        <v>2020</v>
      </c>
      <c r="B21" s="24" t="s">
        <v>35</v>
      </c>
      <c r="C21" s="24" t="s">
        <v>36</v>
      </c>
      <c r="D21" s="24" t="s">
        <v>60</v>
      </c>
      <c r="E21" s="25">
        <v>33953</v>
      </c>
      <c r="F21" s="26">
        <v>45212</v>
      </c>
      <c r="G21" s="26" t="s">
        <v>115</v>
      </c>
      <c r="H21" s="27" t="str">
        <f t="shared" si="0"/>
        <v>8%</v>
      </c>
      <c r="I21" s="28" t="str">
        <f t="shared" si="1"/>
        <v>Eligible</v>
      </c>
      <c r="J21" s="29">
        <f ca="1">INT(YEARFRAC(Table5[[#This Row],[Date]],TODAY()))</f>
        <v>3</v>
      </c>
    </row>
    <row r="23" spans="1:10" ht="14.25" customHeight="1" x14ac:dyDescent="0.45">
      <c r="C23" s="43" t="s">
        <v>102</v>
      </c>
      <c r="D23" s="45"/>
      <c r="F23" s="43" t="s">
        <v>106</v>
      </c>
      <c r="G23" s="44"/>
      <c r="H23" s="45"/>
    </row>
    <row r="24" spans="1:10" x14ac:dyDescent="0.45">
      <c r="C24" s="46"/>
      <c r="D24" s="48"/>
      <c r="F24" s="46"/>
      <c r="G24" s="47"/>
      <c r="H24" s="48"/>
    </row>
    <row r="25" spans="1:10" x14ac:dyDescent="0.45">
      <c r="C25" s="5" t="s">
        <v>98</v>
      </c>
      <c r="D25" s="5">
        <f>SUMIFS(E2:E21,C2:C21,"SOUTH")</f>
        <v>73188</v>
      </c>
      <c r="F25" s="5">
        <v>2004</v>
      </c>
      <c r="G25" s="5"/>
      <c r="H25" s="5">
        <f>VLOOKUP(F25,Table5[],5,)</f>
        <v>5264</v>
      </c>
    </row>
    <row r="26" spans="1:10" x14ac:dyDescent="0.45">
      <c r="C26" s="13" t="s">
        <v>99</v>
      </c>
      <c r="D26" s="13">
        <f>SUMIFS(E3:E22,C3:C22,"NORTH")</f>
        <v>140627</v>
      </c>
      <c r="F26" s="13">
        <v>2007</v>
      </c>
      <c r="G26" s="13"/>
      <c r="H26" s="13">
        <f>VLOOKUP(F26,Table5[],5,)</f>
        <v>32058</v>
      </c>
    </row>
    <row r="27" spans="1:10" x14ac:dyDescent="0.45">
      <c r="C27" s="5" t="s">
        <v>100</v>
      </c>
      <c r="D27" s="5">
        <f>SUMIFS(E4:E23,C4:C23,"EAST")</f>
        <v>173932</v>
      </c>
      <c r="F27" s="5">
        <v>2008</v>
      </c>
      <c r="G27" s="5"/>
      <c r="H27" s="5">
        <f>VLOOKUP(F27,Table5[],5,)</f>
        <v>46429</v>
      </c>
    </row>
    <row r="28" spans="1:10" x14ac:dyDescent="0.45">
      <c r="C28" s="13" t="s">
        <v>101</v>
      </c>
      <c r="D28" s="13">
        <f>SUMIFS(E5:E24,C5:C24,"WEST")</f>
        <v>102550</v>
      </c>
      <c r="F28" s="13">
        <v>2001</v>
      </c>
      <c r="G28" s="13"/>
      <c r="H28" s="13">
        <f>VLOOKUP(F28,Table5[],5,)</f>
        <v>7048</v>
      </c>
    </row>
    <row r="32" spans="1:10" ht="14.25" customHeight="1" x14ac:dyDescent="0.45">
      <c r="C32" s="43" t="s">
        <v>107</v>
      </c>
      <c r="D32" s="44"/>
      <c r="E32" s="45"/>
      <c r="G32" s="43" t="s">
        <v>128</v>
      </c>
      <c r="H32" s="44"/>
      <c r="I32" s="45"/>
    </row>
    <row r="33" spans="3:9" x14ac:dyDescent="0.45">
      <c r="C33" s="46"/>
      <c r="D33" s="47"/>
      <c r="E33" s="48"/>
      <c r="G33" s="46"/>
      <c r="H33" s="47"/>
      <c r="I33" s="48"/>
    </row>
    <row r="34" spans="3:9" x14ac:dyDescent="0.45">
      <c r="C34" s="5" t="s">
        <v>55</v>
      </c>
      <c r="D34" s="5" t="s">
        <v>117</v>
      </c>
      <c r="E34" s="5" cm="1">
        <f t="array" ref="E34">INDEX(E2:E21,MATCH(1,(D2:D21=C34)*(G2:G21=D34),0))</f>
        <v>15678</v>
      </c>
      <c r="G34" s="5"/>
      <c r="H34" s="14" t="s">
        <v>58</v>
      </c>
      <c r="I34" s="5">
        <f>_xlfn.XLOOKUP(H34,Table5[Salesperson],Table5[Amount])</f>
        <v>38161</v>
      </c>
    </row>
    <row r="35" spans="3:9" x14ac:dyDescent="0.45">
      <c r="C35" s="13" t="s">
        <v>51</v>
      </c>
      <c r="D35" s="13" t="s">
        <v>109</v>
      </c>
      <c r="E35" s="13" cm="1">
        <f t="array" ref="E35">INDEX(E3:E22,MATCH(1,(D3:D22=C35)*(G3:G22=D35),0))</f>
        <v>35611</v>
      </c>
      <c r="G35" s="13"/>
      <c r="H35" s="13" t="s">
        <v>129</v>
      </c>
      <c r="I35" s="13">
        <f>_xlfn.XLOOKUP(H35,Table5[Salesperson],Table5[Amount])</f>
        <v>33953</v>
      </c>
    </row>
    <row r="36" spans="3:9" x14ac:dyDescent="0.45">
      <c r="C36" s="5" t="s">
        <v>49</v>
      </c>
      <c r="D36" s="5" t="s">
        <v>118</v>
      </c>
      <c r="E36" s="5" cm="1">
        <f t="array" ref="E36">INDEX(E4:E23,MATCH(1,(D4:D23=C36)*(G4:G23=D36),0))</f>
        <v>33920</v>
      </c>
    </row>
    <row r="37" spans="3:9" x14ac:dyDescent="0.45">
      <c r="C37" s="13" t="s">
        <v>58</v>
      </c>
      <c r="D37" s="13" t="s">
        <v>120</v>
      </c>
      <c r="E37" s="13" cm="1">
        <f t="array" ref="E37">INDEX(E5:E24,MATCH(1,(D5:D24=C37)*(G5:G24=D37),0))</f>
        <v>38161</v>
      </c>
    </row>
    <row r="41" spans="3:9" x14ac:dyDescent="0.45">
      <c r="C41" s="43" t="s">
        <v>131</v>
      </c>
      <c r="D41" s="44"/>
      <c r="E41" s="45"/>
      <c r="G41" s="43" t="s">
        <v>137</v>
      </c>
      <c r="H41" s="44"/>
      <c r="I41" s="45"/>
    </row>
    <row r="42" spans="3:9" x14ac:dyDescent="0.45">
      <c r="C42" s="46"/>
      <c r="D42" s="47"/>
      <c r="E42" s="48"/>
      <c r="G42" s="46"/>
      <c r="H42" s="47"/>
      <c r="I42" s="48"/>
    </row>
    <row r="43" spans="3:9" x14ac:dyDescent="0.45">
      <c r="C43" s="5"/>
      <c r="D43" s="5" t="s">
        <v>133</v>
      </c>
      <c r="E43" s="5">
        <f>_xlfn.XMATCH(D43,Table5[Product],)</f>
        <v>1</v>
      </c>
      <c r="G43" s="5"/>
      <c r="H43" s="21">
        <f ca="1">SUM(INDIRECT("E2:E21"))</f>
        <v>507725</v>
      </c>
      <c r="I43" s="5"/>
    </row>
    <row r="44" spans="3:9" x14ac:dyDescent="0.45">
      <c r="C44" s="13"/>
      <c r="D44" s="13" t="s">
        <v>134</v>
      </c>
      <c r="E44" s="13">
        <f>_xlfn.XMATCH(D44,Table5[Product],)</f>
        <v>2</v>
      </c>
    </row>
    <row r="45" spans="3:9" x14ac:dyDescent="0.45">
      <c r="C45" s="42"/>
      <c r="D45" s="42" t="s">
        <v>132</v>
      </c>
      <c r="E45" s="5">
        <f>_xlfn.XMATCH(D45,Table5[Product],)</f>
        <v>3</v>
      </c>
    </row>
    <row r="46" spans="3:9" x14ac:dyDescent="0.45">
      <c r="C46" s="13"/>
      <c r="D46" s="13" t="s">
        <v>135</v>
      </c>
      <c r="E46" s="13">
        <f>_xlfn.XMATCH(D46,Table5[Product],)</f>
        <v>12</v>
      </c>
      <c r="G46" s="43" t="s">
        <v>138</v>
      </c>
      <c r="H46" s="44"/>
      <c r="I46" s="45"/>
    </row>
    <row r="47" spans="3:9" x14ac:dyDescent="0.45">
      <c r="C47" s="42"/>
      <c r="D47" s="42" t="s">
        <v>136</v>
      </c>
      <c r="E47" s="5">
        <f>_xlfn.XMATCH(D47,Table5[Product],)</f>
        <v>13</v>
      </c>
      <c r="G47" s="46"/>
      <c r="H47" s="47"/>
      <c r="I47" s="48"/>
    </row>
    <row r="48" spans="3:9" x14ac:dyDescent="0.45">
      <c r="G48" s="5"/>
      <c r="H48" s="21" t="str">
        <f ca="1">OFFSET(G1,4,0)</f>
        <v>april</v>
      </c>
      <c r="I48" s="5"/>
    </row>
    <row r="50" spans="3:5" x14ac:dyDescent="0.45">
      <c r="C50" s="43" t="s">
        <v>137</v>
      </c>
      <c r="D50" s="44"/>
      <c r="E50" s="45"/>
    </row>
    <row r="51" spans="3:5" x14ac:dyDescent="0.45">
      <c r="C51" s="46"/>
      <c r="D51" s="47"/>
      <c r="E51" s="48"/>
    </row>
    <row r="52" spans="3:5" x14ac:dyDescent="0.45">
      <c r="C52" s="21"/>
      <c r="D52" s="21">
        <f ca="1">SUM(INDIRECT("E2:E21"))</f>
        <v>507725</v>
      </c>
      <c r="E52" s="21"/>
    </row>
  </sheetData>
  <mergeCells count="8">
    <mergeCell ref="C41:E42"/>
    <mergeCell ref="G41:I42"/>
    <mergeCell ref="G46:I47"/>
    <mergeCell ref="C50:E51"/>
    <mergeCell ref="C23:D24"/>
    <mergeCell ref="F23:H24"/>
    <mergeCell ref="C32:E33"/>
    <mergeCell ref="G32:I33"/>
  </mergeCells>
  <pageMargins left="0.7" right="0.7" top="0.75" bottom="0.75" header="0.3" footer="0.3"/>
  <pageSetup orientation="portrait" r:id="rId1"/>
  <ignoredErrors>
    <ignoredError sqref="D26 D27:D28 E35:E37" formulaRange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zoomScale="58" workbookViewId="0">
      <selection activeCell="I33" sqref="I33"/>
    </sheetView>
  </sheetViews>
  <sheetFormatPr defaultRowHeight="14.25" x14ac:dyDescent="0.45"/>
  <cols>
    <col min="1" max="1" width="13.19921875" customWidth="1"/>
    <col min="2" max="2" width="9.33203125" bestFit="1" customWidth="1"/>
    <col min="3" max="3" width="12.46484375" customWidth="1"/>
    <col min="6" max="6" width="9.9296875" bestFit="1" customWidth="1"/>
    <col min="7" max="7" width="15" bestFit="1" customWidth="1"/>
    <col min="8" max="8" width="15" customWidth="1"/>
    <col min="9" max="9" width="12.19921875" customWidth="1"/>
    <col min="10" max="10" width="12.265625" customWidth="1"/>
    <col min="12" max="12" width="13.9296875" customWidth="1"/>
    <col min="13" max="13" width="14.06640625" customWidth="1"/>
  </cols>
  <sheetData>
    <row r="1" spans="1:13" ht="71.25" x14ac:dyDescent="0.4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91</v>
      </c>
      <c r="G1" s="30" t="s">
        <v>5</v>
      </c>
      <c r="H1" s="30" t="s">
        <v>93</v>
      </c>
      <c r="I1" s="30" t="s">
        <v>89</v>
      </c>
      <c r="J1" s="30" t="s">
        <v>90</v>
      </c>
      <c r="K1" s="30" t="s">
        <v>92</v>
      </c>
      <c r="L1" s="30" t="s">
        <v>95</v>
      </c>
      <c r="M1" s="30" t="s">
        <v>104</v>
      </c>
    </row>
    <row r="2" spans="1:13" x14ac:dyDescent="0.45">
      <c r="A2" s="31">
        <v>1001</v>
      </c>
      <c r="B2" s="31" t="s">
        <v>6</v>
      </c>
      <c r="C2" s="31">
        <v>61</v>
      </c>
      <c r="D2" s="31">
        <v>48</v>
      </c>
      <c r="E2" s="32">
        <v>76</v>
      </c>
      <c r="F2" s="32">
        <v>100</v>
      </c>
      <c r="G2" s="33">
        <v>43101</v>
      </c>
      <c r="H2" s="34">
        <f>SUM(C2+D2+E2)</f>
        <v>185</v>
      </c>
      <c r="I2" s="35">
        <f>C2+D2</f>
        <v>109</v>
      </c>
      <c r="J2" s="31">
        <f>C2-$F$2</f>
        <v>-39</v>
      </c>
      <c r="K2" s="31" t="str">
        <f>IF(H2&gt;280,"A",IF(H2&gt;200,"B",IF(H2&gt;150,"C","D")))</f>
        <v>C</v>
      </c>
      <c r="L2" s="31" t="str">
        <f>IF(AND(C2&gt;=80, D2&gt;=80), "Pass", "Fail")</f>
        <v>Fail</v>
      </c>
      <c r="M2" s="36">
        <f>H2/3</f>
        <v>61.666666666666664</v>
      </c>
    </row>
    <row r="3" spans="1:13" x14ac:dyDescent="0.45">
      <c r="A3" s="14">
        <v>1002</v>
      </c>
      <c r="B3" s="14" t="s">
        <v>7</v>
      </c>
      <c r="C3" s="14">
        <v>78</v>
      </c>
      <c r="D3" s="14">
        <v>76</v>
      </c>
      <c r="E3" s="37">
        <v>70</v>
      </c>
      <c r="F3" s="38"/>
      <c r="G3" s="38">
        <v>43281</v>
      </c>
      <c r="H3" s="39">
        <f t="shared" ref="H3:H21" si="0">SUM(C3+D3+E3)</f>
        <v>224</v>
      </c>
      <c r="I3" s="40">
        <f t="shared" ref="I3:I21" si="1">C3+D3</f>
        <v>154</v>
      </c>
      <c r="J3" s="14">
        <f t="shared" ref="J3:J21" si="2">C3-$F$2</f>
        <v>-22</v>
      </c>
      <c r="K3" s="14" t="str">
        <f t="shared" ref="K3:K21" si="3">IF(H3&gt;280,"A",IF(H3&gt;200,"B",IF(H3&gt;150,"C","D")))</f>
        <v>B</v>
      </c>
      <c r="L3" s="14" t="str">
        <f t="shared" ref="L3:L21" si="4">IF(AND(C3&gt;=80, D3&gt;=80), "Pass", "Fail")</f>
        <v>Fail</v>
      </c>
      <c r="M3" s="41">
        <f t="shared" ref="M3:M21" si="5">H3/3</f>
        <v>74.666666666666671</v>
      </c>
    </row>
    <row r="4" spans="1:13" x14ac:dyDescent="0.45">
      <c r="A4" s="31">
        <v>1003</v>
      </c>
      <c r="B4" s="31" t="s">
        <v>8</v>
      </c>
      <c r="C4" s="31">
        <v>97</v>
      </c>
      <c r="D4" s="31">
        <v>60</v>
      </c>
      <c r="E4" s="32">
        <v>51</v>
      </c>
      <c r="F4" s="33"/>
      <c r="G4" s="33">
        <v>43461</v>
      </c>
      <c r="H4" s="34">
        <f t="shared" si="0"/>
        <v>208</v>
      </c>
      <c r="I4" s="35">
        <f t="shared" si="1"/>
        <v>157</v>
      </c>
      <c r="J4" s="31">
        <f t="shared" si="2"/>
        <v>-3</v>
      </c>
      <c r="K4" s="31" t="str">
        <f t="shared" si="3"/>
        <v>B</v>
      </c>
      <c r="L4" s="31" t="str">
        <f t="shared" si="4"/>
        <v>Fail</v>
      </c>
      <c r="M4" s="36">
        <f t="shared" si="5"/>
        <v>69.333333333333329</v>
      </c>
    </row>
    <row r="5" spans="1:13" x14ac:dyDescent="0.45">
      <c r="A5" s="14">
        <v>1004</v>
      </c>
      <c r="B5" s="14" t="s">
        <v>9</v>
      </c>
      <c r="C5" s="14">
        <v>74</v>
      </c>
      <c r="D5" s="14">
        <v>55</v>
      </c>
      <c r="E5" s="37">
        <v>46</v>
      </c>
      <c r="F5" s="38"/>
      <c r="G5" s="38">
        <v>43641</v>
      </c>
      <c r="H5" s="39">
        <f t="shared" si="0"/>
        <v>175</v>
      </c>
      <c r="I5" s="40">
        <f t="shared" si="1"/>
        <v>129</v>
      </c>
      <c r="J5" s="14">
        <f t="shared" si="2"/>
        <v>-26</v>
      </c>
      <c r="K5" s="14" t="str">
        <f t="shared" si="3"/>
        <v>C</v>
      </c>
      <c r="L5" s="14" t="str">
        <f t="shared" si="4"/>
        <v>Fail</v>
      </c>
      <c r="M5" s="41">
        <f t="shared" si="5"/>
        <v>58.333333333333336</v>
      </c>
    </row>
    <row r="6" spans="1:13" x14ac:dyDescent="0.45">
      <c r="A6" s="31">
        <v>1005</v>
      </c>
      <c r="B6" s="31" t="s">
        <v>10</v>
      </c>
      <c r="C6" s="31">
        <v>68</v>
      </c>
      <c r="D6" s="31">
        <v>74</v>
      </c>
      <c r="E6" s="32">
        <v>84</v>
      </c>
      <c r="F6" s="33"/>
      <c r="G6" s="33">
        <v>43821</v>
      </c>
      <c r="H6" s="34">
        <f t="shared" si="0"/>
        <v>226</v>
      </c>
      <c r="I6" s="35">
        <f t="shared" si="1"/>
        <v>142</v>
      </c>
      <c r="J6" s="31">
        <f t="shared" si="2"/>
        <v>-32</v>
      </c>
      <c r="K6" s="31" t="str">
        <f t="shared" si="3"/>
        <v>B</v>
      </c>
      <c r="L6" s="31" t="str">
        <f t="shared" si="4"/>
        <v>Fail</v>
      </c>
      <c r="M6" s="36">
        <f t="shared" si="5"/>
        <v>75.333333333333329</v>
      </c>
    </row>
    <row r="7" spans="1:13" x14ac:dyDescent="0.45">
      <c r="A7" s="14">
        <v>1006</v>
      </c>
      <c r="B7" s="14" t="s">
        <v>11</v>
      </c>
      <c r="C7" s="14">
        <v>80</v>
      </c>
      <c r="D7" s="14">
        <v>70</v>
      </c>
      <c r="E7" s="37">
        <v>65</v>
      </c>
      <c r="F7" s="38"/>
      <c r="G7" s="38">
        <v>44001</v>
      </c>
      <c r="H7" s="39">
        <f t="shared" si="0"/>
        <v>215</v>
      </c>
      <c r="I7" s="40">
        <f t="shared" si="1"/>
        <v>150</v>
      </c>
      <c r="J7" s="14">
        <f t="shared" si="2"/>
        <v>-20</v>
      </c>
      <c r="K7" s="14" t="str">
        <f t="shared" si="3"/>
        <v>B</v>
      </c>
      <c r="L7" s="14" t="str">
        <f t="shared" si="4"/>
        <v>Fail</v>
      </c>
      <c r="M7" s="41">
        <f t="shared" si="5"/>
        <v>71.666666666666671</v>
      </c>
    </row>
    <row r="8" spans="1:13" x14ac:dyDescent="0.45">
      <c r="A8" s="31">
        <v>1007</v>
      </c>
      <c r="B8" s="31" t="s">
        <v>12</v>
      </c>
      <c r="C8" s="31">
        <v>75</v>
      </c>
      <c r="D8" s="31">
        <v>47</v>
      </c>
      <c r="E8" s="32">
        <v>78</v>
      </c>
      <c r="F8" s="33"/>
      <c r="G8" s="33">
        <v>44181</v>
      </c>
      <c r="H8" s="34">
        <f t="shared" si="0"/>
        <v>200</v>
      </c>
      <c r="I8" s="35">
        <f t="shared" si="1"/>
        <v>122</v>
      </c>
      <c r="J8" s="31">
        <f t="shared" si="2"/>
        <v>-25</v>
      </c>
      <c r="K8" s="31" t="str">
        <f t="shared" si="3"/>
        <v>C</v>
      </c>
      <c r="L8" s="31" t="str">
        <f t="shared" si="4"/>
        <v>Fail</v>
      </c>
      <c r="M8" s="36">
        <f t="shared" si="5"/>
        <v>66.666666666666671</v>
      </c>
    </row>
    <row r="9" spans="1:13" x14ac:dyDescent="0.45">
      <c r="A9" s="14">
        <v>1008</v>
      </c>
      <c r="B9" s="14" t="s">
        <v>13</v>
      </c>
      <c r="C9" s="14">
        <v>94</v>
      </c>
      <c r="D9" s="14">
        <v>67</v>
      </c>
      <c r="E9" s="37">
        <v>64</v>
      </c>
      <c r="F9" s="38"/>
      <c r="G9" s="38">
        <v>44361</v>
      </c>
      <c r="H9" s="39">
        <f t="shared" si="0"/>
        <v>225</v>
      </c>
      <c r="I9" s="40">
        <f t="shared" si="1"/>
        <v>161</v>
      </c>
      <c r="J9" s="14">
        <f t="shared" si="2"/>
        <v>-6</v>
      </c>
      <c r="K9" s="14" t="str">
        <f t="shared" si="3"/>
        <v>B</v>
      </c>
      <c r="L9" s="14" t="str">
        <f t="shared" si="4"/>
        <v>Fail</v>
      </c>
      <c r="M9" s="41">
        <f t="shared" si="5"/>
        <v>75</v>
      </c>
    </row>
    <row r="10" spans="1:13" ht="14.35" customHeight="1" x14ac:dyDescent="0.45">
      <c r="A10" s="31">
        <v>1009</v>
      </c>
      <c r="B10" s="31" t="s">
        <v>14</v>
      </c>
      <c r="C10" s="31">
        <v>41</v>
      </c>
      <c r="D10" s="31">
        <v>75</v>
      </c>
      <c r="E10" s="32">
        <v>56</v>
      </c>
      <c r="F10" s="33"/>
      <c r="G10" s="33">
        <v>44541</v>
      </c>
      <c r="H10" s="34">
        <f t="shared" si="0"/>
        <v>172</v>
      </c>
      <c r="I10" s="35">
        <f t="shared" si="1"/>
        <v>116</v>
      </c>
      <c r="J10" s="31">
        <f t="shared" si="2"/>
        <v>-59</v>
      </c>
      <c r="K10" s="31" t="str">
        <f t="shared" si="3"/>
        <v>C</v>
      </c>
      <c r="L10" s="31" t="str">
        <f t="shared" si="4"/>
        <v>Fail</v>
      </c>
      <c r="M10" s="36">
        <f t="shared" si="5"/>
        <v>57.333333333333336</v>
      </c>
    </row>
    <row r="11" spans="1:13" ht="14.35" customHeight="1" x14ac:dyDescent="0.45">
      <c r="A11" s="14">
        <v>1010</v>
      </c>
      <c r="B11" s="14" t="s">
        <v>15</v>
      </c>
      <c r="C11" s="14">
        <v>98</v>
      </c>
      <c r="D11" s="14">
        <v>54</v>
      </c>
      <c r="E11" s="37">
        <v>58</v>
      </c>
      <c r="F11" s="38"/>
      <c r="G11" s="38">
        <v>44721</v>
      </c>
      <c r="H11" s="39">
        <f t="shared" si="0"/>
        <v>210</v>
      </c>
      <c r="I11" s="40">
        <f t="shared" si="1"/>
        <v>152</v>
      </c>
      <c r="J11" s="14">
        <f t="shared" si="2"/>
        <v>-2</v>
      </c>
      <c r="K11" s="14" t="str">
        <f t="shared" si="3"/>
        <v>B</v>
      </c>
      <c r="L11" s="14" t="str">
        <f t="shared" si="4"/>
        <v>Fail</v>
      </c>
      <c r="M11" s="41">
        <f t="shared" si="5"/>
        <v>70</v>
      </c>
    </row>
    <row r="12" spans="1:13" ht="14.35" customHeight="1" x14ac:dyDescent="0.45">
      <c r="A12" s="31">
        <v>1011</v>
      </c>
      <c r="B12" s="31" t="s">
        <v>16</v>
      </c>
      <c r="C12" s="31">
        <v>73</v>
      </c>
      <c r="D12" s="31">
        <v>79</v>
      </c>
      <c r="E12" s="32">
        <v>53</v>
      </c>
      <c r="F12" s="33"/>
      <c r="G12" s="33">
        <v>44901</v>
      </c>
      <c r="H12" s="34">
        <f t="shared" si="0"/>
        <v>205</v>
      </c>
      <c r="I12" s="35">
        <f t="shared" si="1"/>
        <v>152</v>
      </c>
      <c r="J12" s="31">
        <f t="shared" si="2"/>
        <v>-27</v>
      </c>
      <c r="K12" s="31" t="str">
        <f t="shared" si="3"/>
        <v>B</v>
      </c>
      <c r="L12" s="31" t="str">
        <f t="shared" si="4"/>
        <v>Fail</v>
      </c>
      <c r="M12" s="36">
        <f t="shared" si="5"/>
        <v>68.333333333333329</v>
      </c>
    </row>
    <row r="13" spans="1:13" ht="14.35" customHeight="1" x14ac:dyDescent="0.45">
      <c r="A13" s="14">
        <v>1012</v>
      </c>
      <c r="B13" s="14" t="s">
        <v>17</v>
      </c>
      <c r="C13" s="14">
        <v>85</v>
      </c>
      <c r="D13" s="14">
        <v>89</v>
      </c>
      <c r="E13" s="37">
        <v>79</v>
      </c>
      <c r="F13" s="38"/>
      <c r="G13" s="38">
        <v>45081</v>
      </c>
      <c r="H13" s="39">
        <f t="shared" si="0"/>
        <v>253</v>
      </c>
      <c r="I13" s="40">
        <f t="shared" si="1"/>
        <v>174</v>
      </c>
      <c r="J13" s="14">
        <f t="shared" si="2"/>
        <v>-15</v>
      </c>
      <c r="K13" s="14" t="str">
        <f t="shared" si="3"/>
        <v>B</v>
      </c>
      <c r="L13" s="14" t="str">
        <f t="shared" si="4"/>
        <v>Pass</v>
      </c>
      <c r="M13" s="41">
        <f t="shared" si="5"/>
        <v>84.333333333333329</v>
      </c>
    </row>
    <row r="14" spans="1:13" ht="14.35" customHeight="1" x14ac:dyDescent="0.45">
      <c r="A14" s="31">
        <v>1013</v>
      </c>
      <c r="B14" s="31" t="s">
        <v>18</v>
      </c>
      <c r="C14" s="31">
        <v>98</v>
      </c>
      <c r="D14" s="31">
        <v>90</v>
      </c>
      <c r="E14" s="32">
        <v>97</v>
      </c>
      <c r="F14" s="33"/>
      <c r="G14" s="33">
        <v>45261</v>
      </c>
      <c r="H14" s="34">
        <f t="shared" si="0"/>
        <v>285</v>
      </c>
      <c r="I14" s="35">
        <f t="shared" si="1"/>
        <v>188</v>
      </c>
      <c r="J14" s="31">
        <f t="shared" si="2"/>
        <v>-2</v>
      </c>
      <c r="K14" s="31" t="str">
        <f t="shared" si="3"/>
        <v>A</v>
      </c>
      <c r="L14" s="31" t="str">
        <f t="shared" si="4"/>
        <v>Pass</v>
      </c>
      <c r="M14" s="36">
        <f t="shared" si="5"/>
        <v>95</v>
      </c>
    </row>
    <row r="15" spans="1:13" ht="14.35" customHeight="1" x14ac:dyDescent="0.45">
      <c r="A15" s="14">
        <v>1014</v>
      </c>
      <c r="B15" s="14" t="s">
        <v>19</v>
      </c>
      <c r="C15" s="14">
        <v>93</v>
      </c>
      <c r="D15" s="14">
        <v>40</v>
      </c>
      <c r="E15" s="37">
        <v>44</v>
      </c>
      <c r="F15" s="38"/>
      <c r="G15" s="38">
        <v>45441</v>
      </c>
      <c r="H15" s="39">
        <f t="shared" si="0"/>
        <v>177</v>
      </c>
      <c r="I15" s="40">
        <f t="shared" si="1"/>
        <v>133</v>
      </c>
      <c r="J15" s="14">
        <f t="shared" si="2"/>
        <v>-7</v>
      </c>
      <c r="K15" s="14" t="str">
        <f t="shared" si="3"/>
        <v>C</v>
      </c>
      <c r="L15" s="14" t="str">
        <f t="shared" si="4"/>
        <v>Fail</v>
      </c>
      <c r="M15" s="41">
        <f t="shared" si="5"/>
        <v>59</v>
      </c>
    </row>
    <row r="16" spans="1:13" ht="14.35" customHeight="1" x14ac:dyDescent="0.45">
      <c r="A16" s="31">
        <v>1015</v>
      </c>
      <c r="B16" s="31" t="s">
        <v>20</v>
      </c>
      <c r="C16" s="31">
        <v>70</v>
      </c>
      <c r="D16" s="31">
        <v>51</v>
      </c>
      <c r="E16" s="32">
        <v>75</v>
      </c>
      <c r="F16" s="33"/>
      <c r="G16" s="33">
        <v>45621</v>
      </c>
      <c r="H16" s="34">
        <f t="shared" si="0"/>
        <v>196</v>
      </c>
      <c r="I16" s="35">
        <f t="shared" si="1"/>
        <v>121</v>
      </c>
      <c r="J16" s="31">
        <f t="shared" si="2"/>
        <v>-30</v>
      </c>
      <c r="K16" s="31" t="str">
        <f t="shared" si="3"/>
        <v>C</v>
      </c>
      <c r="L16" s="31" t="str">
        <f t="shared" si="4"/>
        <v>Fail</v>
      </c>
      <c r="M16" s="36">
        <f t="shared" si="5"/>
        <v>65.333333333333329</v>
      </c>
    </row>
    <row r="17" spans="1:13" ht="14.35" customHeight="1" x14ac:dyDescent="0.45">
      <c r="A17" s="14">
        <v>1016</v>
      </c>
      <c r="B17" s="14" t="s">
        <v>21</v>
      </c>
      <c r="C17" s="14">
        <v>98</v>
      </c>
      <c r="D17" s="14">
        <v>77</v>
      </c>
      <c r="E17" s="37">
        <v>60</v>
      </c>
      <c r="F17" s="38"/>
      <c r="G17" s="38">
        <v>45801</v>
      </c>
      <c r="H17" s="39">
        <f t="shared" si="0"/>
        <v>235</v>
      </c>
      <c r="I17" s="40">
        <f t="shared" si="1"/>
        <v>175</v>
      </c>
      <c r="J17" s="14">
        <f t="shared" si="2"/>
        <v>-2</v>
      </c>
      <c r="K17" s="14" t="str">
        <f t="shared" si="3"/>
        <v>B</v>
      </c>
      <c r="L17" s="14" t="str">
        <f t="shared" si="4"/>
        <v>Fail</v>
      </c>
      <c r="M17" s="41">
        <f t="shared" si="5"/>
        <v>78.333333333333329</v>
      </c>
    </row>
    <row r="18" spans="1:13" ht="14.35" customHeight="1" x14ac:dyDescent="0.45">
      <c r="A18" s="31">
        <v>1017</v>
      </c>
      <c r="B18" s="31" t="s">
        <v>22</v>
      </c>
      <c r="C18" s="31">
        <v>66</v>
      </c>
      <c r="D18" s="31">
        <v>59</v>
      </c>
      <c r="E18" s="32">
        <v>40</v>
      </c>
      <c r="F18" s="33"/>
      <c r="G18" s="33">
        <v>45981</v>
      </c>
      <c r="H18" s="34">
        <f t="shared" si="0"/>
        <v>165</v>
      </c>
      <c r="I18" s="35">
        <f t="shared" si="1"/>
        <v>125</v>
      </c>
      <c r="J18" s="31">
        <f t="shared" si="2"/>
        <v>-34</v>
      </c>
      <c r="K18" s="31" t="str">
        <f t="shared" si="3"/>
        <v>C</v>
      </c>
      <c r="L18" s="31" t="str">
        <f t="shared" si="4"/>
        <v>Fail</v>
      </c>
      <c r="M18" s="36">
        <f t="shared" si="5"/>
        <v>55</v>
      </c>
    </row>
    <row r="19" spans="1:13" ht="14.35" customHeight="1" x14ac:dyDescent="0.45">
      <c r="A19" s="14">
        <v>1018</v>
      </c>
      <c r="B19" s="14" t="s">
        <v>23</v>
      </c>
      <c r="C19" s="14">
        <v>82</v>
      </c>
      <c r="D19" s="14">
        <v>48</v>
      </c>
      <c r="E19" s="37">
        <v>79</v>
      </c>
      <c r="F19" s="38"/>
      <c r="G19" s="38">
        <v>46161</v>
      </c>
      <c r="H19" s="39">
        <f t="shared" si="0"/>
        <v>209</v>
      </c>
      <c r="I19" s="40">
        <f t="shared" si="1"/>
        <v>130</v>
      </c>
      <c r="J19" s="14">
        <f t="shared" si="2"/>
        <v>-18</v>
      </c>
      <c r="K19" s="14" t="str">
        <f t="shared" si="3"/>
        <v>B</v>
      </c>
      <c r="L19" s="14" t="str">
        <f t="shared" si="4"/>
        <v>Fail</v>
      </c>
      <c r="M19" s="41">
        <f t="shared" si="5"/>
        <v>69.666666666666671</v>
      </c>
    </row>
    <row r="20" spans="1:13" ht="14.35" customHeight="1" x14ac:dyDescent="0.45">
      <c r="A20" s="31">
        <v>1019</v>
      </c>
      <c r="B20" s="31" t="s">
        <v>24</v>
      </c>
      <c r="C20" s="31">
        <v>90</v>
      </c>
      <c r="D20" s="31">
        <v>78</v>
      </c>
      <c r="E20" s="32">
        <v>60</v>
      </c>
      <c r="F20" s="33"/>
      <c r="G20" s="33">
        <v>46341</v>
      </c>
      <c r="H20" s="34">
        <f t="shared" si="0"/>
        <v>228</v>
      </c>
      <c r="I20" s="35">
        <f t="shared" si="1"/>
        <v>168</v>
      </c>
      <c r="J20" s="31">
        <f t="shared" si="2"/>
        <v>-10</v>
      </c>
      <c r="K20" s="31" t="str">
        <f t="shared" si="3"/>
        <v>B</v>
      </c>
      <c r="L20" s="31" t="str">
        <f t="shared" si="4"/>
        <v>Fail</v>
      </c>
      <c r="M20" s="36">
        <f t="shared" si="5"/>
        <v>76</v>
      </c>
    </row>
    <row r="21" spans="1:13" ht="14.35" customHeight="1" x14ac:dyDescent="0.45">
      <c r="A21" s="14">
        <v>1020</v>
      </c>
      <c r="B21" s="14" t="s">
        <v>25</v>
      </c>
      <c r="C21" s="14">
        <v>83</v>
      </c>
      <c r="D21" s="14">
        <v>92</v>
      </c>
      <c r="E21" s="37">
        <v>55</v>
      </c>
      <c r="F21" s="38"/>
      <c r="G21" s="38">
        <v>46521</v>
      </c>
      <c r="H21" s="39">
        <f t="shared" si="0"/>
        <v>230</v>
      </c>
      <c r="I21" s="40">
        <f t="shared" si="1"/>
        <v>175</v>
      </c>
      <c r="J21" s="14">
        <f t="shared" si="2"/>
        <v>-17</v>
      </c>
      <c r="K21" s="14" t="str">
        <f t="shared" si="3"/>
        <v>B</v>
      </c>
      <c r="L21" s="14" t="str">
        <f t="shared" si="4"/>
        <v>Pass</v>
      </c>
      <c r="M21" s="41">
        <f t="shared" si="5"/>
        <v>76.666666666666671</v>
      </c>
    </row>
    <row r="25" spans="1:13" ht="40.5" customHeight="1" x14ac:dyDescent="0.65">
      <c r="C25" s="10" t="s">
        <v>97</v>
      </c>
      <c r="D25" s="10"/>
      <c r="E25" s="2"/>
      <c r="F25" s="2"/>
      <c r="H25" s="10" t="s">
        <v>103</v>
      </c>
      <c r="I25" s="10"/>
    </row>
    <row r="26" spans="1:13" x14ac:dyDescent="0.45">
      <c r="C26" s="9">
        <f>COUNTIFS(C2:C21,"&gt;50")</f>
        <v>19</v>
      </c>
      <c r="D26" s="9"/>
      <c r="H26" s="10"/>
      <c r="I26" s="10"/>
    </row>
    <row r="27" spans="1:13" x14ac:dyDescent="0.45">
      <c r="H27" s="12">
        <f>AVERAGEIFS(M2:M21,M2:M21,"&gt;60")</f>
        <v>73.625000000000014</v>
      </c>
      <c r="I27" s="12"/>
    </row>
    <row r="29" spans="1:13" ht="38.65" customHeight="1" x14ac:dyDescent="0.45">
      <c r="B29" s="10" t="s">
        <v>105</v>
      </c>
      <c r="C29" s="10"/>
      <c r="F29" s="10" t="s">
        <v>145</v>
      </c>
      <c r="G29" s="10"/>
    </row>
    <row r="30" spans="1:13" x14ac:dyDescent="0.45">
      <c r="B30" s="11">
        <v>1020</v>
      </c>
      <c r="C30" s="11" t="str">
        <f>VLOOKUP(B30,A2:M21,2,)</f>
        <v>Student 20</v>
      </c>
      <c r="F30" s="10"/>
      <c r="G30" s="10"/>
    </row>
    <row r="31" spans="1:13" x14ac:dyDescent="0.45">
      <c r="B31" s="31">
        <v>1016</v>
      </c>
      <c r="C31" s="31" t="str">
        <f t="shared" ref="C31:C32" si="6">VLOOKUP(B31,A3:M22,2,)</f>
        <v>Student 16</v>
      </c>
      <c r="F31" s="9" t="str" cm="1">
        <f t="array" ref="F31">_xlfn._xlws.FILTER(B2:B21,M2:M21&gt;90,"NO TOP STUDENTS")</f>
        <v>Student 13</v>
      </c>
      <c r="G31" s="9"/>
    </row>
    <row r="32" spans="1:13" x14ac:dyDescent="0.45">
      <c r="B32" s="11">
        <v>1009</v>
      </c>
      <c r="C32" s="11" t="str">
        <f t="shared" si="6"/>
        <v>Student 9</v>
      </c>
    </row>
  </sheetData>
  <mergeCells count="7">
    <mergeCell ref="F31:G31"/>
    <mergeCell ref="H25:I26"/>
    <mergeCell ref="H27:I27"/>
    <mergeCell ref="B29:C29"/>
    <mergeCell ref="C25:D25"/>
    <mergeCell ref="C26:D26"/>
    <mergeCell ref="F29:G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44E62-D603-4744-802A-122726F5FE1A}">
  <dimension ref="A1:I38"/>
  <sheetViews>
    <sheetView zoomScale="71" workbookViewId="0">
      <selection activeCell="H39" sqref="H39"/>
    </sheetView>
  </sheetViews>
  <sheetFormatPr defaultRowHeight="14.25" x14ac:dyDescent="0.45"/>
  <cols>
    <col min="1" max="1" width="15.46484375" customWidth="1"/>
    <col min="2" max="2" width="16.86328125" customWidth="1"/>
    <col min="3" max="3" width="13" customWidth="1"/>
    <col min="4" max="4" width="14.86328125" customWidth="1"/>
    <col min="5" max="5" width="13.06640625" customWidth="1"/>
    <col min="7" max="7" width="10.3984375" bestFit="1" customWidth="1"/>
    <col min="8" max="8" width="9.86328125" bestFit="1" customWidth="1"/>
    <col min="9" max="9" width="16.86328125" bestFit="1" customWidth="1"/>
  </cols>
  <sheetData>
    <row r="1" spans="1:9" ht="14.35" customHeight="1" x14ac:dyDescent="0.45">
      <c r="A1" s="30" t="s">
        <v>61</v>
      </c>
      <c r="B1" s="30" t="s">
        <v>1</v>
      </c>
      <c r="C1" s="30" t="s">
        <v>62</v>
      </c>
      <c r="D1" s="30" t="s">
        <v>63</v>
      </c>
      <c r="E1" s="30" t="s">
        <v>64</v>
      </c>
      <c r="F1" s="30" t="s">
        <v>125</v>
      </c>
      <c r="G1" s="30" t="s">
        <v>126</v>
      </c>
      <c r="H1" s="30" t="s">
        <v>127</v>
      </c>
      <c r="I1" s="30" t="s">
        <v>140</v>
      </c>
    </row>
    <row r="2" spans="1:9" ht="14.35" customHeight="1" x14ac:dyDescent="0.45">
      <c r="A2" s="31">
        <v>3001</v>
      </c>
      <c r="B2" s="31" t="s">
        <v>65</v>
      </c>
      <c r="C2" s="31" t="s">
        <v>66</v>
      </c>
      <c r="D2" s="31">
        <v>86766</v>
      </c>
      <c r="E2" s="49">
        <v>42005</v>
      </c>
      <c r="F2" s="31" t="str">
        <f>LEFT(B2,9)</f>
        <v xml:space="preserve">Employee </v>
      </c>
      <c r="G2" s="31" t="str">
        <f>UPPER(C2)</f>
        <v>FINANCE</v>
      </c>
      <c r="H2" s="31" t="str" cm="1">
        <f t="array" ref="H2:H21">LOWER(C2:C21)</f>
        <v>finance</v>
      </c>
      <c r="I2" s="32">
        <v>7048.12345</v>
      </c>
    </row>
    <row r="3" spans="1:9" ht="14.35" customHeight="1" x14ac:dyDescent="0.45">
      <c r="A3" s="14">
        <v>3002</v>
      </c>
      <c r="B3" s="14" t="s">
        <v>67</v>
      </c>
      <c r="C3" s="14" t="s">
        <v>66</v>
      </c>
      <c r="D3" s="14">
        <v>31943</v>
      </c>
      <c r="E3" s="50">
        <v>42255</v>
      </c>
      <c r="F3" s="14" t="str">
        <f t="shared" ref="F3:F21" si="0">LEFT(B3,9)</f>
        <v xml:space="preserve">Employee </v>
      </c>
      <c r="G3" s="14" t="str">
        <f t="shared" ref="G3:G21" si="1">UPPER(C3)</f>
        <v>FINANCE</v>
      </c>
      <c r="H3" s="14" t="str">
        <v>finance</v>
      </c>
      <c r="I3" s="37">
        <v>17428.234560000001</v>
      </c>
    </row>
    <row r="4" spans="1:9" ht="14.35" customHeight="1" x14ac:dyDescent="0.45">
      <c r="A4" s="31">
        <v>3003</v>
      </c>
      <c r="B4" s="31" t="s">
        <v>68</v>
      </c>
      <c r="C4" s="31" t="s">
        <v>69</v>
      </c>
      <c r="D4" s="31">
        <v>63374</v>
      </c>
      <c r="E4" s="49">
        <v>42505</v>
      </c>
      <c r="F4" s="31" t="str">
        <f t="shared" si="0"/>
        <v xml:space="preserve">Employee </v>
      </c>
      <c r="G4" s="31" t="str">
        <f t="shared" si="1"/>
        <v>HR</v>
      </c>
      <c r="H4" s="31" t="str">
        <v>hr</v>
      </c>
      <c r="I4" s="32">
        <v>23672.345669999999</v>
      </c>
    </row>
    <row r="5" spans="1:9" ht="14.35" customHeight="1" x14ac:dyDescent="0.45">
      <c r="A5" s="14">
        <v>3004</v>
      </c>
      <c r="B5" s="14" t="s">
        <v>70</v>
      </c>
      <c r="C5" s="14" t="s">
        <v>66</v>
      </c>
      <c r="D5" s="14">
        <v>109972</v>
      </c>
      <c r="E5" s="50">
        <v>42755</v>
      </c>
      <c r="F5" s="14" t="str">
        <f t="shared" si="0"/>
        <v xml:space="preserve">Employee </v>
      </c>
      <c r="G5" s="14" t="str">
        <f t="shared" si="1"/>
        <v>FINANCE</v>
      </c>
      <c r="H5" s="14" t="str">
        <v>finance</v>
      </c>
      <c r="I5" s="37">
        <v>5264.4567800000004</v>
      </c>
    </row>
    <row r="6" spans="1:9" ht="14.35" customHeight="1" x14ac:dyDescent="0.45">
      <c r="A6" s="31">
        <v>3005</v>
      </c>
      <c r="B6" s="31" t="s">
        <v>71</v>
      </c>
      <c r="C6" s="31" t="s">
        <v>72</v>
      </c>
      <c r="D6" s="31">
        <v>54149</v>
      </c>
      <c r="E6" s="49">
        <v>43005</v>
      </c>
      <c r="F6" s="31" t="str">
        <f t="shared" si="0"/>
        <v xml:space="preserve">Employee </v>
      </c>
      <c r="G6" s="31" t="str">
        <f t="shared" si="1"/>
        <v>IT</v>
      </c>
      <c r="H6" s="31" t="str">
        <v>it</v>
      </c>
      <c r="I6" s="32">
        <v>43388.567889999998</v>
      </c>
    </row>
    <row r="7" spans="1:9" ht="14.35" customHeight="1" x14ac:dyDescent="0.45">
      <c r="A7" s="14">
        <v>3006</v>
      </c>
      <c r="B7" s="14" t="s">
        <v>73</v>
      </c>
      <c r="C7" s="14" t="s">
        <v>72</v>
      </c>
      <c r="D7" s="14">
        <v>78689</v>
      </c>
      <c r="E7" s="50">
        <v>43255</v>
      </c>
      <c r="F7" s="14" t="str">
        <f t="shared" si="0"/>
        <v xml:space="preserve">Employee </v>
      </c>
      <c r="G7" s="14" t="str">
        <f t="shared" si="1"/>
        <v>IT</v>
      </c>
      <c r="H7" s="14" t="str">
        <v>it</v>
      </c>
      <c r="I7" s="37">
        <v>19757.678899999999</v>
      </c>
    </row>
    <row r="8" spans="1:9" ht="14.35" customHeight="1" x14ac:dyDescent="0.45">
      <c r="A8" s="31">
        <v>3007</v>
      </c>
      <c r="B8" s="31" t="s">
        <v>74</v>
      </c>
      <c r="C8" s="31" t="s">
        <v>75</v>
      </c>
      <c r="D8" s="31">
        <v>35960</v>
      </c>
      <c r="E8" s="49">
        <v>43505</v>
      </c>
      <c r="F8" s="31" t="str">
        <f t="shared" si="0"/>
        <v xml:space="preserve">Employee </v>
      </c>
      <c r="G8" s="31" t="str">
        <f t="shared" si="1"/>
        <v>MARKETING</v>
      </c>
      <c r="H8" s="31" t="str">
        <v>marketing</v>
      </c>
      <c r="I8" s="32">
        <v>32058.78901</v>
      </c>
    </row>
    <row r="9" spans="1:9" ht="14.35" customHeight="1" x14ac:dyDescent="0.45">
      <c r="A9" s="14">
        <v>3008</v>
      </c>
      <c r="B9" s="14" t="s">
        <v>76</v>
      </c>
      <c r="C9" s="14" t="s">
        <v>72</v>
      </c>
      <c r="D9" s="14">
        <v>91659</v>
      </c>
      <c r="E9" s="50">
        <v>43755</v>
      </c>
      <c r="F9" s="14" t="str">
        <f t="shared" si="0"/>
        <v xml:space="preserve">Employee </v>
      </c>
      <c r="G9" s="14" t="str">
        <f t="shared" si="1"/>
        <v>IT</v>
      </c>
      <c r="H9" s="14" t="str">
        <v>it</v>
      </c>
      <c r="I9" s="37">
        <v>46429.890119999996</v>
      </c>
    </row>
    <row r="10" spans="1:9" ht="14.35" customHeight="1" x14ac:dyDescent="0.45">
      <c r="A10" s="31">
        <v>3009</v>
      </c>
      <c r="B10" s="31" t="s">
        <v>77</v>
      </c>
      <c r="C10" s="31" t="s">
        <v>72</v>
      </c>
      <c r="D10" s="31">
        <v>90423</v>
      </c>
      <c r="E10" s="49">
        <v>44005</v>
      </c>
      <c r="F10" s="31" t="str">
        <f t="shared" si="0"/>
        <v xml:space="preserve">Employee </v>
      </c>
      <c r="G10" s="31" t="str">
        <f t="shared" si="1"/>
        <v>IT</v>
      </c>
      <c r="H10" s="31" t="str">
        <v>it</v>
      </c>
      <c r="I10" s="32">
        <v>19746.901229999999</v>
      </c>
    </row>
    <row r="11" spans="1:9" ht="14.35" customHeight="1" x14ac:dyDescent="0.45">
      <c r="A11" s="14">
        <v>3010</v>
      </c>
      <c r="B11" s="14" t="s">
        <v>78</v>
      </c>
      <c r="C11" s="14" t="s">
        <v>69</v>
      </c>
      <c r="D11" s="14">
        <v>107877</v>
      </c>
      <c r="E11" s="50">
        <v>44255</v>
      </c>
      <c r="F11" s="14" t="str">
        <f t="shared" si="0"/>
        <v xml:space="preserve">Employee </v>
      </c>
      <c r="G11" s="14" t="str">
        <f t="shared" si="1"/>
        <v>HR</v>
      </c>
      <c r="H11" s="14" t="str">
        <v>hr</v>
      </c>
      <c r="I11" s="37">
        <v>35185.012340000001</v>
      </c>
    </row>
    <row r="12" spans="1:9" ht="14.35" customHeight="1" x14ac:dyDescent="0.45">
      <c r="A12" s="31">
        <v>3011</v>
      </c>
      <c r="B12" s="31" t="s">
        <v>79</v>
      </c>
      <c r="C12" s="31" t="s">
        <v>66</v>
      </c>
      <c r="D12" s="31">
        <v>107634</v>
      </c>
      <c r="E12" s="49">
        <v>44505</v>
      </c>
      <c r="F12" s="31" t="str">
        <f t="shared" si="0"/>
        <v xml:space="preserve">Employee </v>
      </c>
      <c r="G12" s="31" t="str">
        <f t="shared" si="1"/>
        <v>FINANCE</v>
      </c>
      <c r="H12" s="31" t="str">
        <v>finance</v>
      </c>
      <c r="I12" s="32">
        <v>33920.123449999999</v>
      </c>
    </row>
    <row r="13" spans="1:9" ht="14.35" customHeight="1" x14ac:dyDescent="0.45">
      <c r="A13" s="14">
        <v>3012</v>
      </c>
      <c r="B13" s="14" t="s">
        <v>80</v>
      </c>
      <c r="C13" s="14" t="s">
        <v>66</v>
      </c>
      <c r="D13" s="14">
        <v>35226</v>
      </c>
      <c r="E13" s="50">
        <v>44755</v>
      </c>
      <c r="F13" s="14" t="str">
        <f t="shared" si="0"/>
        <v xml:space="preserve">Employee </v>
      </c>
      <c r="G13" s="14" t="str">
        <f t="shared" si="1"/>
        <v>FINANCE</v>
      </c>
      <c r="H13" s="14" t="str">
        <v>finance</v>
      </c>
      <c r="I13" s="37">
        <v>35611.234559999997</v>
      </c>
    </row>
    <row r="14" spans="1:9" ht="14.35" customHeight="1" x14ac:dyDescent="0.45">
      <c r="A14" s="31">
        <v>3013</v>
      </c>
      <c r="B14" s="31" t="s">
        <v>81</v>
      </c>
      <c r="C14" s="31" t="s">
        <v>69</v>
      </c>
      <c r="D14" s="31">
        <v>40872</v>
      </c>
      <c r="E14" s="49">
        <v>45005</v>
      </c>
      <c r="F14" s="31" t="str">
        <f t="shared" si="0"/>
        <v xml:space="preserve">Employee </v>
      </c>
      <c r="G14" s="31" t="str">
        <f t="shared" si="1"/>
        <v>HR</v>
      </c>
      <c r="H14" s="31" t="str">
        <v>hr</v>
      </c>
      <c r="I14" s="32">
        <v>15560.345670000001</v>
      </c>
    </row>
    <row r="15" spans="1:9" ht="14.35" customHeight="1" x14ac:dyDescent="0.45">
      <c r="A15" s="14">
        <v>3014</v>
      </c>
      <c r="B15" s="14" t="s">
        <v>82</v>
      </c>
      <c r="C15" s="14" t="s">
        <v>69</v>
      </c>
      <c r="D15" s="14">
        <v>55378</v>
      </c>
      <c r="E15" s="50">
        <v>45255</v>
      </c>
      <c r="F15" s="14" t="str">
        <f t="shared" si="0"/>
        <v xml:space="preserve">Employee </v>
      </c>
      <c r="G15" s="14" t="str">
        <f t="shared" si="1"/>
        <v>HR</v>
      </c>
      <c r="H15" s="14" t="str">
        <v>hr</v>
      </c>
      <c r="I15" s="37">
        <v>7283.4567800000004</v>
      </c>
    </row>
    <row r="16" spans="1:9" ht="14.35" customHeight="1" x14ac:dyDescent="0.45">
      <c r="A16" s="31">
        <v>3015</v>
      </c>
      <c r="B16" s="31" t="s">
        <v>83</v>
      </c>
      <c r="C16" s="31" t="s">
        <v>69</v>
      </c>
      <c r="D16" s="31">
        <v>63297</v>
      </c>
      <c r="E16" s="49">
        <v>45505</v>
      </c>
      <c r="F16" s="31" t="str">
        <f t="shared" si="0"/>
        <v xml:space="preserve">Employee </v>
      </c>
      <c r="G16" s="31" t="str">
        <f t="shared" si="1"/>
        <v>HR</v>
      </c>
      <c r="H16" s="31" t="str">
        <v>hr</v>
      </c>
      <c r="I16" s="32">
        <v>15678.56789</v>
      </c>
    </row>
    <row r="17" spans="1:9" ht="14.35" customHeight="1" x14ac:dyDescent="0.45">
      <c r="A17" s="14">
        <v>3016</v>
      </c>
      <c r="B17" s="14" t="s">
        <v>84</v>
      </c>
      <c r="C17" s="14" t="s">
        <v>66</v>
      </c>
      <c r="D17" s="14">
        <v>114173</v>
      </c>
      <c r="E17" s="50">
        <v>45755</v>
      </c>
      <c r="F17" s="14" t="str">
        <f t="shared" si="0"/>
        <v xml:space="preserve">Employee </v>
      </c>
      <c r="G17" s="14" t="str">
        <f t="shared" si="1"/>
        <v>FINANCE</v>
      </c>
      <c r="H17" s="14" t="str">
        <v>finance</v>
      </c>
      <c r="I17" s="37">
        <v>5277.6788999999999</v>
      </c>
    </row>
    <row r="18" spans="1:9" ht="14.35" customHeight="1" x14ac:dyDescent="0.45">
      <c r="A18" s="31">
        <v>3017</v>
      </c>
      <c r="B18" s="31" t="s">
        <v>85</v>
      </c>
      <c r="C18" s="31" t="s">
        <v>69</v>
      </c>
      <c r="D18" s="31">
        <v>86915</v>
      </c>
      <c r="E18" s="49">
        <v>46005</v>
      </c>
      <c r="F18" s="31" t="str">
        <f t="shared" si="0"/>
        <v xml:space="preserve">Employee </v>
      </c>
      <c r="G18" s="31" t="str">
        <f t="shared" si="1"/>
        <v>HR</v>
      </c>
      <c r="H18" s="31" t="str">
        <v>hr</v>
      </c>
      <c r="I18" s="32">
        <v>41871.78901</v>
      </c>
    </row>
    <row r="19" spans="1:9" ht="14.35" customHeight="1" x14ac:dyDescent="0.45">
      <c r="A19" s="14">
        <v>3018</v>
      </c>
      <c r="B19" s="14" t="s">
        <v>86</v>
      </c>
      <c r="C19" s="14" t="s">
        <v>72</v>
      </c>
      <c r="D19" s="14">
        <v>116284</v>
      </c>
      <c r="E19" s="50">
        <v>46255</v>
      </c>
      <c r="F19" s="14" t="str">
        <f t="shared" si="0"/>
        <v xml:space="preserve">Employee </v>
      </c>
      <c r="G19" s="14" t="str">
        <f t="shared" si="1"/>
        <v>IT</v>
      </c>
      <c r="H19" s="14" t="str">
        <v>it</v>
      </c>
      <c r="I19" s="37">
        <v>38161.890119999996</v>
      </c>
    </row>
    <row r="20" spans="1:9" ht="14.35" customHeight="1" x14ac:dyDescent="0.45">
      <c r="A20" s="31">
        <v>3019</v>
      </c>
      <c r="B20" s="31" t="s">
        <v>87</v>
      </c>
      <c r="C20" s="31" t="s">
        <v>75</v>
      </c>
      <c r="D20" s="31">
        <v>116283</v>
      </c>
      <c r="E20" s="49">
        <v>46505</v>
      </c>
      <c r="F20" s="31" t="str">
        <f t="shared" si="0"/>
        <v xml:space="preserve">Employee </v>
      </c>
      <c r="G20" s="31" t="str">
        <f t="shared" si="1"/>
        <v>MARKETING</v>
      </c>
      <c r="H20" s="31" t="str">
        <v>marketing</v>
      </c>
      <c r="I20" s="32">
        <v>30436.901229999999</v>
      </c>
    </row>
    <row r="21" spans="1:9" ht="14.35" customHeight="1" x14ac:dyDescent="0.45">
      <c r="A21" s="14">
        <v>3020</v>
      </c>
      <c r="B21" s="14" t="s">
        <v>88</v>
      </c>
      <c r="C21" s="14" t="s">
        <v>75</v>
      </c>
      <c r="D21" s="14">
        <v>99924</v>
      </c>
      <c r="E21" s="50">
        <v>46755</v>
      </c>
      <c r="F21" s="14" t="str">
        <f t="shared" si="0"/>
        <v xml:space="preserve">Employee </v>
      </c>
      <c r="G21" s="14" t="str">
        <f t="shared" si="1"/>
        <v>MARKETING</v>
      </c>
      <c r="H21" s="14" t="str">
        <v>marketing</v>
      </c>
      <c r="I21" s="37">
        <v>33953.012340000001</v>
      </c>
    </row>
    <row r="22" spans="1:9" x14ac:dyDescent="0.45">
      <c r="I22" s="7"/>
    </row>
    <row r="25" spans="1:9" x14ac:dyDescent="0.45">
      <c r="B25" s="10" t="s">
        <v>121</v>
      </c>
      <c r="C25" s="10"/>
      <c r="D25" s="10"/>
    </row>
    <row r="26" spans="1:9" ht="28.15" customHeight="1" x14ac:dyDescent="0.45">
      <c r="B26" s="10"/>
      <c r="C26" s="10"/>
      <c r="D26" s="10"/>
      <c r="E26" s="8"/>
      <c r="F26" s="3" t="s">
        <v>144</v>
      </c>
      <c r="G26" s="4"/>
    </row>
    <row r="27" spans="1:9" x14ac:dyDescent="0.45">
      <c r="B27" s="5">
        <v>3019</v>
      </c>
      <c r="C27" s="5" t="s">
        <v>62</v>
      </c>
      <c r="D27" s="5" t="str">
        <f>INDEX($A$2:$E$21,MATCH(B27,$A$2:$A$21,0),MATCH(C27,$A$1:$E$1,0))</f>
        <v>Marketing</v>
      </c>
      <c r="E27" s="8"/>
      <c r="F27" s="3"/>
      <c r="G27" s="4"/>
    </row>
    <row r="28" spans="1:9" x14ac:dyDescent="0.45">
      <c r="B28" s="13">
        <v>3008</v>
      </c>
      <c r="C28" s="13" t="s">
        <v>123</v>
      </c>
      <c r="D28" s="13">
        <f t="shared" ref="D28:D30" si="2">INDEX($A$2:$E$21,MATCH(B28,$A$2:$A$21,0),MATCH(C28,$A$1:$E$1,0))</f>
        <v>91659</v>
      </c>
      <c r="F28" s="1" t="s">
        <v>141</v>
      </c>
      <c r="G28" s="1">
        <f>ROUND(I2,2)</f>
        <v>7048.12</v>
      </c>
    </row>
    <row r="29" spans="1:9" x14ac:dyDescent="0.45">
      <c r="B29" s="5">
        <v>3002</v>
      </c>
      <c r="C29" s="5" t="s">
        <v>124</v>
      </c>
      <c r="D29" s="6">
        <f t="shared" si="2"/>
        <v>42255</v>
      </c>
      <c r="F29" s="13" t="s">
        <v>142</v>
      </c>
      <c r="G29" s="13">
        <f>CEILING(I6,5)</f>
        <v>43390</v>
      </c>
    </row>
    <row r="30" spans="1:9" x14ac:dyDescent="0.45">
      <c r="B30" s="13">
        <v>3014</v>
      </c>
      <c r="C30" s="13" t="s">
        <v>122</v>
      </c>
      <c r="D30" s="13" t="str">
        <f t="shared" si="2"/>
        <v>Employee 14</v>
      </c>
      <c r="F30" s="1" t="s">
        <v>143</v>
      </c>
      <c r="G30" s="1">
        <f>FLOOR(I8,4)</f>
        <v>32056</v>
      </c>
    </row>
    <row r="35" spans="2:4" x14ac:dyDescent="0.45">
      <c r="B35" s="10" t="s">
        <v>130</v>
      </c>
      <c r="C35" s="10"/>
      <c r="D35" s="10"/>
    </row>
    <row r="36" spans="2:4" x14ac:dyDescent="0.45">
      <c r="B36" s="10"/>
      <c r="C36" s="10"/>
      <c r="D36" s="10"/>
    </row>
    <row r="37" spans="2:4" x14ac:dyDescent="0.45">
      <c r="B37" s="5"/>
      <c r="C37" s="14">
        <v>3020</v>
      </c>
      <c r="D37" s="5">
        <f>_xlfn.XLOOKUP(C37,A2:A21,D2:D21,"Not Found")</f>
        <v>99924</v>
      </c>
    </row>
    <row r="38" spans="2:4" x14ac:dyDescent="0.45">
      <c r="B38" s="13"/>
      <c r="C38" s="13">
        <v>3018</v>
      </c>
      <c r="D38" s="13">
        <f>_xlfn.XLOOKUP(C38,A3:A22,D3:D22,"Not Found")</f>
        <v>116284</v>
      </c>
    </row>
  </sheetData>
  <mergeCells count="3">
    <mergeCell ref="B25:D26"/>
    <mergeCell ref="B35:D36"/>
    <mergeCell ref="F26:G27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STUDENT DATA </vt:lpstr>
      <vt:lpstr>EMPLOYEE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Nilanchal Behera</dc:creator>
  <cp:lastModifiedBy>Nilanchal Behera</cp:lastModifiedBy>
  <dcterms:created xsi:type="dcterms:W3CDTF">2015-06-05T18:17:20Z</dcterms:created>
  <dcterms:modified xsi:type="dcterms:W3CDTF">2026-10-26T13:51:24Z</dcterms:modified>
</cp:coreProperties>
</file>